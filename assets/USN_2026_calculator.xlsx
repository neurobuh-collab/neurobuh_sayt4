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\Downloads\"/>
    </mc:Choice>
  </mc:AlternateContent>
  <xr:revisionPtr revIDLastSave="0" documentId="13_ncr:1_{1A37372C-60DD-4772-8B65-D30C5F12E01F}" xr6:coauthVersionLast="47" xr6:coauthVersionMax="47" xr10:uidLastSave="{00000000-0000-0000-0000-000000000000}"/>
  <bookViews>
    <workbookView xWindow="-107" yWindow="-107" windowWidth="20847" windowHeight="11111" tabRatio="500" xr2:uid="{00000000-000D-0000-FFFF-FFFF00000000}"/>
  </bookViews>
  <sheets>
    <sheet name="Расчет УСН 20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1" l="1"/>
  <c r="C34" i="1"/>
  <c r="F27" i="1"/>
  <c r="F24" i="1"/>
  <c r="E24" i="1"/>
  <c r="D24" i="1"/>
  <c r="C24" i="1"/>
  <c r="F22" i="1"/>
  <c r="F23" i="1" s="1"/>
  <c r="E22" i="1"/>
  <c r="E23" i="1" s="1"/>
  <c r="D22" i="1"/>
  <c r="D23" i="1" s="1"/>
  <c r="C22" i="1"/>
  <c r="C23" i="1" s="1"/>
  <c r="F17" i="1"/>
  <c r="E17" i="1"/>
  <c r="D17" i="1"/>
  <c r="C17" i="1"/>
  <c r="E25" i="1" l="1"/>
  <c r="E26" i="1" s="1"/>
  <c r="E28" i="1" s="1"/>
  <c r="C25" i="1"/>
  <c r="C26" i="1" s="1"/>
  <c r="C28" i="1" s="1"/>
  <c r="D25" i="1"/>
  <c r="D26" i="1" s="1"/>
  <c r="D28" i="1" s="1"/>
  <c r="F25" i="1"/>
  <c r="F26" i="1" s="1"/>
  <c r="F28" i="1" s="1"/>
  <c r="F29" i="1" l="1"/>
  <c r="F30" i="1" s="1"/>
  <c r="E29" i="1"/>
  <c r="E30" i="1" s="1"/>
  <c r="C30" i="1"/>
  <c r="D29" i="1"/>
  <c r="D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0</author>
  </authors>
  <commentList>
    <comment ref="C15" authorId="0" shapeId="0" xr:uid="{00000000-0006-0000-0000-000001000000}">
      <text>
        <r>
          <rPr>
            <sz val="10"/>
            <rFont val="Arial"/>
            <family val="2"/>
          </rPr>
          <t>Взносы ИП за себя уменьшают налог как «подлежащие уплате в году» — факт оплаты не важен.
Если у ИП есть сотрудники, их уплаченные взносы вноси в следующую строку вместе со взносами сотрудников.</t>
        </r>
      </text>
    </comment>
    <comment ref="C16" authorId="1" shapeId="0" xr:uid="{0F33AFBC-A548-4B8D-8B1E-F0587F51A2FC}">
      <text>
        <r>
          <rPr>
            <b/>
            <sz val="9"/>
            <color indexed="81"/>
            <rFont val="Tahoma"/>
            <charset val="1"/>
          </rPr>
          <t>0:</t>
        </r>
        <r>
          <rPr>
            <sz val="9"/>
            <color indexed="81"/>
            <rFont val="Tahoma"/>
            <charset val="1"/>
          </rPr>
          <t xml:space="preserve">
Впишите сумму. Максммум указан в строке ниже
</t>
        </r>
      </text>
    </comment>
  </commentList>
</comments>
</file>

<file path=xl/sharedStrings.xml><?xml version="1.0" encoding="utf-8"?>
<sst xmlns="http://schemas.openxmlformats.org/spreadsheetml/2006/main" count="90" uniqueCount="81">
  <si>
    <t>Рабочий лист бухгалтера: выбери форму и объект, вноси цифры нарастающим итогом по мере закрытия кварталов. Желтое — ввод, зеленое — расчет.</t>
  </si>
  <si>
    <t>ШАГ 1. КТО СЧИТАЕМ: настрой под свою компанию (выпадающие списки)</t>
  </si>
  <si>
    <t>Форма: ИП или ООО</t>
  </si>
  <si>
    <t>ИП</t>
  </si>
  <si>
    <t>У ИП на «Доходах» есть вычет взносов за себя (2 строки ниже). У ООО такого вычета нет — только взносы за сотрудников, максимум до половины налога.</t>
  </si>
  <si>
    <t>Объект налогообложения</t>
  </si>
  <si>
    <t>Доходы</t>
  </si>
  <si>
    <t>«Доходы» — налог с выручки, минус взносы. «Доходы минус расходы» — налог с разницы, взносы сидят внутри расходов, по итогам года минимальный налог 1% от доходов.</t>
  </si>
  <si>
    <t>Ставка УСН</t>
  </si>
  <si>
    <t>Стандарт: «Доходы» 6%, «Д-Р» 15%. Регион может снизить до 1% / 5% — проверь свой закон. Повышенных ставок 8% и 20% с 2025 года нет.</t>
  </si>
  <si>
    <t>Есть сотрудники? (1 — да, 0 — нет)</t>
  </si>
  <si>
    <t>Влияет только на «Доходы»: с сотрудниками (и всегда у ООО) вычет взносов ограничен половиной налога. ИП без сотрудников может уменьшить налог до нуля.</t>
  </si>
  <si>
    <t>ШАГ 2. ВНОСИ ЦИФРЫ — только желтые ячейки, нарастающим итогом с 1 января</t>
  </si>
  <si>
    <t>Показатель</t>
  </si>
  <si>
    <t>1 квартал</t>
  </si>
  <si>
    <t>Полугодие</t>
  </si>
  <si>
    <t>9 месяцев</t>
  </si>
  <si>
    <t>Год</t>
  </si>
  <si>
    <t>Подсказка</t>
  </si>
  <si>
    <t>Доходы, ₽</t>
  </si>
  <si>
    <t>Кассовый метод из КУДиР, авансы покупателей включаем. Будущие кварталы оставляй пустыми. Лимит УСН 2026 — 490,5 млн ₽.</t>
  </si>
  <si>
    <t>Расходы, ₽ (только для «Д-Р»)</t>
  </si>
  <si>
    <t>Перечень ст. 346.16, оплачены И получены. Взносы (за себя и сотрудников) — сюда, после фактической уплаты. На «Доходах» строка не участвует.</t>
  </si>
  <si>
    <t>Убыток прошлых лет, ₽ («Д-Р», только год)</t>
  </si>
  <si>
    <t>—</t>
  </si>
  <si>
    <t>Уменьшает базу только в годовом расчете, переносится до 10 лет.</t>
  </si>
  <si>
    <t>Вычет ИП: фиксированные взносы за себя, ₽</t>
  </si>
  <si>
    <t>Только ИП на «Доходах». Право: все 57 390 за 2026 можно заявить уже в 1 квартале, оплата не важна (п. 3.1 ст. 346.21 НК). Оплатить — до 28.12.2026. У ООО расчет эту строку игнорирует.</t>
  </si>
  <si>
    <t>Вычет ИП: 1% с превышения 300 000, ₽</t>
  </si>
  <si>
    <t>Только ИП на «Доходах». Расчетный 1% за 2026 можно брать в течение года, не дожидаясь срока уплаты 01.07.2027 (письма ФНС СД-4-3/10872@, СД-4-3/4104@). Максимум подсказывает серая строка ниже.</t>
  </si>
  <si>
    <t>Считается само: (доход − 300 000) × 1%, максимум за 2026 год — 321 818 ₽. Строка выше не должна превышать эту.</t>
  </si>
  <si>
    <t>Взносы за сотрудников, уплаченные, ₽</t>
  </si>
  <si>
    <t>Для «Доходов» у ООО и ИП-работодателя: только фактически уплаченные в периоде (+ больничные за первые 3 дня). Общий вычет ограничен половиной налога.</t>
  </si>
  <si>
    <t>ШАГ 3. РАСЧЕТ УСН — считает таблица, руками не трогаем</t>
  </si>
  <si>
    <t>Строка расчета</t>
  </si>
  <si>
    <t>Что происходит</t>
  </si>
  <si>
    <t>1. Налоговая база</t>
  </si>
  <si>
    <t>«Доходы»: вся выручка. «Д-Р»: доходы минус расходы (за год еще минус убыток), не меньше нуля.</t>
  </si>
  <si>
    <t>2. Налог нарастающим итогом = база × ставка</t>
  </si>
  <si>
    <t>Всегда с 1 января, не за отдельный квартал.</t>
  </si>
  <si>
    <t>3. Вычет взносов (только «Доходы»)</t>
  </si>
  <si>
    <t>ИП: фиксированные + 1% + уплаченные за сотрудников. ООО: только уплаченные за сотрудников. На «Д-Р» строка равна нулю — там взносы уже в расходах.</t>
  </si>
  <si>
    <t>4. Лимит вычета</t>
  </si>
  <si>
    <t>ИП без сотрудников — до 100% налога (до нуля). ИП с сотрудниками и любое ООО — не больше половины налога.</t>
  </si>
  <si>
    <t>5. Вычет, который принимаем</t>
  </si>
  <si>
    <t>Меньшее из строк 3 и 4. Излишек не сгорает: подтянется в следующих периодах, ведь считаем нарастающим итогом.</t>
  </si>
  <si>
    <t>6. Минимальный налог 1% от доходов («Д-Р», только год)</t>
  </si>
  <si>
    <t>Только для «Д-Р» и только по итогам года (ст. 346.18 НК). В авансах не считается.</t>
  </si>
  <si>
    <t>7. Налог за период нарастающим итогом</t>
  </si>
  <si>
    <t>«Доходы»: налог минус вычет. «Д-Р»: за год берем большее из обычного и минимального. Авансы зачитываются и против минимального налога.</t>
  </si>
  <si>
    <t>8. Уже начислено за прошлые периоды</t>
  </si>
  <si>
    <t>Строка 7 предыдущего периода. В 1 квартале вычитать нечего.</t>
  </si>
  <si>
    <t>9. К УПЛАТЕ ЗА ПЕРИОД</t>
  </si>
  <si>
    <t>Итоговый платеж по сроку. Ноль — не платим, минус не сгорает.</t>
  </si>
  <si>
    <t>10. Срок уплаты / уведомление ЕНП</t>
  </si>
  <si>
    <t>28.04.2026
ув. до 27.04</t>
  </si>
  <si>
    <t>28.07.2026
ув. до 27.07</t>
  </si>
  <si>
    <t>28.10.2026
ув. до 26.10</t>
  </si>
  <si>
    <t>ИП: 28.04.2027
ООО: 30.03.2027</t>
  </si>
  <si>
    <t>По авансам — уведомление ЕНП до 25-го (с переносом выходных). По годовому налогу уведомление не нужно: сумму видно из декларации (ООО до 25.03.2027, ИП до 25.04.2027).</t>
  </si>
  <si>
    <t>ШАГ 4. НДС — проверь, не догнал ли тебя порог 20 млн</t>
  </si>
  <si>
    <t>Статус по НДС (само)</t>
  </si>
  <si>
    <t>Порог 20 млн смотрим и на доход прошлого года: за 2025 больше 20 млн — НДС с 1 января 2026. И на текущий год: превысили в течение 2026 — НДС со следующего месяца. Порог не индексируется. Совмещаешь с патентом — доходы складываются.</t>
  </si>
  <si>
    <t>Ставка НДС (выбери)</t>
  </si>
  <si>
    <t>5%</t>
  </si>
  <si>
    <t>5% (доход 20–272,5 млн) и 7% (272,5–490,5 млн) — без вычета входного НДС, привязка на 12 кварталов. 22% — с вычетами, уйти на нее можно всегда.</t>
  </si>
  <si>
    <t>Грубое правило: закупок с НДС мало (услуги, зарплаты) — выгоднее 5%/7%. Закупки с НДС больше ~70% выручки — считай 22% с вычетами. При первом переходе на НДС от спецставки можно один раз отказаться в первый год.</t>
  </si>
  <si>
    <t>Выручка с НДС за период обязанности, ₽</t>
  </si>
  <si>
    <t>Только выручка с месяца, когда началась обязанность по НДС</t>
  </si>
  <si>
    <t>НДС считается «в том числе»: извлекается из выручки по расчетной ставке (5/105, 7/107, 22/122). Если в договоре цена без НДС — заключай допсоглашение, иначе НДС ляжет на твою маржу.</t>
  </si>
  <si>
    <t>Закупки с входным НДС 22%, ₽ (для ставки 22%)</t>
  </si>
  <si>
    <t>На ставках 5%/7% вычетов нет: входной НДС уходит в стоимость (на «Д-Р» — в расходы)</t>
  </si>
  <si>
    <t>Только закупки со счетами-фактурами от плательщиков НДС.</t>
  </si>
  <si>
    <t>НДС К УПЛАТЕ (оценка)</t>
  </si>
  <si>
    <t>Декларация — ежеквартально до 25-го (только электронно). Уплата — тремя равными частями до 28-го числа каждого месяца следующего квартала.</t>
  </si>
  <si>
    <t>Это прикидка для выбора ставки, не замена книге продаж. НДС в доходы для расчета УСН не включается.</t>
  </si>
  <si>
    <t>Лимиты УСН 2026 одной строкой: доход 490,5 млн ₽ | сотрудники 130 | ОС 218 млн ₽ | доля юрлиц в ООО не более 25%. Превысили — слетаем с 1-го числа месяца превышения.</t>
  </si>
  <si>
    <t>Взносы ИП 2026: фиксированные 57 390 ₽ до 28.12.2026, 1% свыше 300 тыс. (максимум 321 818 ₽) до 01.07.2027. На «Д-Р» база для 1% = доходы минус расходы.</t>
  </si>
  <si>
    <t>На «Д-Р» разницу между минимальным и обычным налогом можно включить в расходы следующих лет. Убыток переносится до 10 лет.</t>
  </si>
  <si>
    <t>подсказка: максимум 1% на период</t>
  </si>
  <si>
    <t>Калькулятор УСН 2026: расчет налога по кварталам и за год + расчет НДС, если выручка больше 20 млн.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</si>
</sst>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8.5"/>
      <color rgb="FF6B6B6B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6B6B6B"/>
      <name val="Arial"/>
      <charset val="1"/>
    </font>
    <font>
      <i/>
      <sz val="10"/>
      <color rgb="FF7F7F7F"/>
      <name val="Arial"/>
      <charset val="1"/>
    </font>
    <font>
      <sz val="9"/>
      <color rgb="FF00000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9A227"/>
        <bgColor rgb="FFB8860B"/>
      </patternFill>
    </fill>
    <fill>
      <patternFill patternType="solid">
        <fgColor rgb="FFFFF9C4"/>
        <bgColor rgb="FFFFFF99"/>
      </patternFill>
    </fill>
    <fill>
      <patternFill patternType="solid">
        <fgColor rgb="FF2E7D6B"/>
        <bgColor rgb="FF008080"/>
      </patternFill>
    </fill>
    <fill>
      <patternFill patternType="solid">
        <fgColor rgb="FFF2F2F2"/>
        <bgColor rgb="FFE8F1EF"/>
      </patternFill>
    </fill>
    <fill>
      <patternFill patternType="solid">
        <fgColor rgb="FFE8F1EF"/>
        <bgColor rgb="FFF2F2F2"/>
      </patternFill>
    </fill>
    <fill>
      <patternFill patternType="solid">
        <fgColor rgb="FFD5E8E1"/>
        <bgColor rgb="FFE8F1EF"/>
      </patternFill>
    </fill>
  </fills>
  <borders count="4">
    <border>
      <left/>
      <right/>
      <top/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left" vertical="top" wrapText="1"/>
    </xf>
    <xf numFmtId="3" fontId="10" fillId="6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top" wrapText="1"/>
    </xf>
    <xf numFmtId="3" fontId="8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3" fontId="4" fillId="8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7F7F7F"/>
      <rgbColor rgb="FF9999FF"/>
      <rgbColor rgb="FF993366"/>
      <rgbColor rgb="FFFFF9C4"/>
      <rgbColor rgb="FFE8F1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B6B6B"/>
      <rgbColor rgb="FF969696"/>
      <rgbColor rgb="FF1F4E5F"/>
      <rgbColor rgb="FF2E7D6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2"/>
  <sheetViews>
    <sheetView showGridLines="0" tabSelected="1" topLeftCell="A7" zoomScaleNormal="100" workbookViewId="0">
      <selection activeCell="B1" sqref="B1:I1"/>
    </sheetView>
  </sheetViews>
  <sheetFormatPr defaultColWidth="8.69921875" defaultRowHeight="14" x14ac:dyDescent="0.3"/>
  <cols>
    <col min="1" max="1" width="2.5" customWidth="1"/>
    <col min="2" max="2" width="40" customWidth="1"/>
    <col min="3" max="5" width="15.5" customWidth="1"/>
    <col min="6" max="6" width="17" customWidth="1"/>
    <col min="7" max="9" width="16" customWidth="1"/>
  </cols>
  <sheetData>
    <row r="1" spans="2:9" ht="24.05" customHeight="1" x14ac:dyDescent="0.3">
      <c r="B1" s="25" t="s">
        <v>80</v>
      </c>
      <c r="C1" s="25"/>
      <c r="D1" s="25"/>
      <c r="E1" s="25"/>
      <c r="F1" s="25"/>
      <c r="G1" s="25"/>
      <c r="H1" s="25"/>
      <c r="I1" s="25"/>
    </row>
    <row r="2" spans="2:9" ht="25.55" customHeight="1" x14ac:dyDescent="0.3">
      <c r="B2" s="26" t="s">
        <v>0</v>
      </c>
      <c r="C2" s="26"/>
      <c r="D2" s="26"/>
      <c r="E2" s="26"/>
      <c r="F2" s="26"/>
      <c r="G2" s="26"/>
      <c r="H2" s="26"/>
      <c r="I2" s="26"/>
    </row>
    <row r="4" spans="2:9" ht="20.95" customHeight="1" x14ac:dyDescent="0.3">
      <c r="B4" s="24" t="s">
        <v>1</v>
      </c>
      <c r="C4" s="24"/>
      <c r="D4" s="24"/>
      <c r="E4" s="24"/>
      <c r="F4" s="24"/>
      <c r="G4" s="24"/>
      <c r="H4" s="24"/>
      <c r="I4" s="24"/>
    </row>
    <row r="5" spans="2:9" ht="29.95" customHeight="1" x14ac:dyDescent="0.3">
      <c r="B5" s="1" t="s">
        <v>2</v>
      </c>
      <c r="C5" s="2" t="s">
        <v>3</v>
      </c>
      <c r="D5" s="18" t="s">
        <v>4</v>
      </c>
      <c r="E5" s="18"/>
      <c r="F5" s="18"/>
      <c r="G5" s="18"/>
      <c r="H5" s="18"/>
      <c r="I5" s="18"/>
    </row>
    <row r="6" spans="2:9" ht="29.95" customHeight="1" x14ac:dyDescent="0.3">
      <c r="B6" s="1" t="s">
        <v>5</v>
      </c>
      <c r="C6" s="16" t="s">
        <v>6</v>
      </c>
      <c r="D6" s="18" t="s">
        <v>7</v>
      </c>
      <c r="E6" s="18"/>
      <c r="F6" s="18"/>
      <c r="G6" s="18"/>
      <c r="H6" s="18"/>
      <c r="I6" s="18"/>
    </row>
    <row r="7" spans="2:9" ht="27.8" customHeight="1" x14ac:dyDescent="0.3">
      <c r="B7" s="1" t="s">
        <v>8</v>
      </c>
      <c r="C7" s="3">
        <v>0.06</v>
      </c>
      <c r="D7" s="18" t="s">
        <v>9</v>
      </c>
      <c r="E7" s="18"/>
      <c r="F7" s="18"/>
      <c r="G7" s="18"/>
      <c r="H7" s="18"/>
      <c r="I7" s="18"/>
    </row>
    <row r="8" spans="2:9" ht="27.8" customHeight="1" x14ac:dyDescent="0.3">
      <c r="B8" s="1" t="s">
        <v>10</v>
      </c>
      <c r="C8" s="4">
        <v>0</v>
      </c>
      <c r="D8" s="18" t="s">
        <v>11</v>
      </c>
      <c r="E8" s="18"/>
      <c r="F8" s="18"/>
      <c r="G8" s="18"/>
      <c r="H8" s="18"/>
      <c r="I8" s="18"/>
    </row>
    <row r="10" spans="2:9" ht="20.95" customHeight="1" x14ac:dyDescent="0.3">
      <c r="B10" s="24" t="s">
        <v>12</v>
      </c>
      <c r="C10" s="24"/>
      <c r="D10" s="24"/>
      <c r="E10" s="24"/>
      <c r="F10" s="24"/>
      <c r="G10" s="24"/>
      <c r="H10" s="24"/>
      <c r="I10" s="24"/>
    </row>
    <row r="11" spans="2:9" ht="21.8" customHeight="1" x14ac:dyDescent="0.3"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23" t="s">
        <v>18</v>
      </c>
      <c r="H11" s="23"/>
      <c r="I11" s="23"/>
    </row>
    <row r="12" spans="2:9" ht="35.5" customHeight="1" x14ac:dyDescent="0.3">
      <c r="B12" s="1" t="s">
        <v>19</v>
      </c>
      <c r="C12" s="6">
        <v>1800000</v>
      </c>
      <c r="D12" s="6">
        <v>3900000</v>
      </c>
      <c r="E12" s="6">
        <v>6100000</v>
      </c>
      <c r="F12" s="6">
        <v>8000000</v>
      </c>
      <c r="G12" s="18" t="s">
        <v>20</v>
      </c>
      <c r="H12" s="18"/>
      <c r="I12" s="18"/>
    </row>
    <row r="13" spans="2:9" ht="36.549999999999997" customHeight="1" x14ac:dyDescent="0.3">
      <c r="B13" s="1" t="s">
        <v>21</v>
      </c>
      <c r="C13" s="6">
        <v>0</v>
      </c>
      <c r="D13" s="6">
        <v>0</v>
      </c>
      <c r="E13" s="6">
        <v>0</v>
      </c>
      <c r="F13" s="6">
        <v>0</v>
      </c>
      <c r="G13" s="18" t="s">
        <v>22</v>
      </c>
      <c r="H13" s="18"/>
      <c r="I13" s="18"/>
    </row>
    <row r="14" spans="2:9" ht="32.25" customHeight="1" x14ac:dyDescent="0.3">
      <c r="B14" s="1" t="s">
        <v>23</v>
      </c>
      <c r="C14" s="7" t="s">
        <v>24</v>
      </c>
      <c r="D14" s="7" t="s">
        <v>24</v>
      </c>
      <c r="E14" s="7" t="s">
        <v>24</v>
      </c>
      <c r="F14" s="6">
        <v>0</v>
      </c>
      <c r="G14" s="18" t="s">
        <v>25</v>
      </c>
      <c r="H14" s="18"/>
      <c r="I14" s="18"/>
    </row>
    <row r="15" spans="2:9" ht="52.15" customHeight="1" x14ac:dyDescent="0.3">
      <c r="B15" s="1" t="s">
        <v>26</v>
      </c>
      <c r="C15" s="6">
        <v>57390</v>
      </c>
      <c r="D15" s="6">
        <v>57390</v>
      </c>
      <c r="E15" s="6">
        <v>57390</v>
      </c>
      <c r="F15" s="6">
        <v>57390</v>
      </c>
      <c r="G15" s="18" t="s">
        <v>27</v>
      </c>
      <c r="H15" s="18"/>
      <c r="I15" s="18"/>
    </row>
    <row r="16" spans="2:9" ht="50" customHeight="1" x14ac:dyDescent="0.3">
      <c r="B16" s="1" t="s">
        <v>28</v>
      </c>
      <c r="C16" s="6">
        <v>0</v>
      </c>
      <c r="D16" s="6">
        <v>0</v>
      </c>
      <c r="E16" s="6">
        <v>0</v>
      </c>
      <c r="F16" s="6">
        <v>0</v>
      </c>
      <c r="G16" s="18" t="s">
        <v>29</v>
      </c>
      <c r="H16" s="18"/>
      <c r="I16" s="18"/>
    </row>
    <row r="17" spans="2:9" ht="23.65" customHeight="1" x14ac:dyDescent="0.3">
      <c r="B17" s="8" t="s">
        <v>79</v>
      </c>
      <c r="C17" s="9">
        <f>MIN(MAX((C12-300000)*0.01,0),321818)</f>
        <v>15000</v>
      </c>
      <c r="D17" s="9">
        <f>MIN(MAX((D12-300000)*0.01,0),321818)</f>
        <v>36000</v>
      </c>
      <c r="E17" s="9">
        <f>MIN(MAX((E12-300000)*0.01,0),321818)</f>
        <v>58000</v>
      </c>
      <c r="F17" s="9">
        <f>MIN(MAX((F12-300000)*0.01,0),321818)</f>
        <v>77000</v>
      </c>
      <c r="G17" s="18" t="s">
        <v>30</v>
      </c>
      <c r="H17" s="18"/>
      <c r="I17" s="18"/>
    </row>
    <row r="18" spans="2:9" ht="31.6" customHeight="1" x14ac:dyDescent="0.3">
      <c r="B18" s="1" t="s">
        <v>31</v>
      </c>
      <c r="C18" s="6">
        <v>0</v>
      </c>
      <c r="D18" s="6">
        <v>0</v>
      </c>
      <c r="E18" s="6">
        <v>0</v>
      </c>
      <c r="F18" s="6">
        <v>0</v>
      </c>
      <c r="G18" s="18" t="s">
        <v>32</v>
      </c>
      <c r="H18" s="18"/>
      <c r="I18" s="18"/>
    </row>
    <row r="20" spans="2:9" ht="20.95" customHeight="1" x14ac:dyDescent="0.3">
      <c r="B20" s="22" t="s">
        <v>33</v>
      </c>
      <c r="C20" s="22"/>
      <c r="D20" s="22"/>
      <c r="E20" s="22"/>
      <c r="F20" s="22"/>
      <c r="G20" s="22"/>
      <c r="H20" s="22"/>
      <c r="I20" s="22"/>
    </row>
    <row r="21" spans="2:9" ht="21.8" customHeight="1" x14ac:dyDescent="0.3">
      <c r="B21" s="10" t="s">
        <v>34</v>
      </c>
      <c r="C21" s="10" t="s">
        <v>14</v>
      </c>
      <c r="D21" s="10" t="s">
        <v>15</v>
      </c>
      <c r="E21" s="10" t="s">
        <v>16</v>
      </c>
      <c r="F21" s="10" t="s">
        <v>17</v>
      </c>
      <c r="G21" s="23" t="s">
        <v>35</v>
      </c>
      <c r="H21" s="23"/>
      <c r="I21" s="23"/>
    </row>
    <row r="22" spans="2:9" ht="27.8" customHeight="1" x14ac:dyDescent="0.3">
      <c r="B22" s="11" t="s">
        <v>36</v>
      </c>
      <c r="C22" s="12">
        <f>IF($C$6="Доходы",C12,MAX(C12-C13,0))</f>
        <v>1800000</v>
      </c>
      <c r="D22" s="12">
        <f>IF($C$6="Доходы",D12,MAX(D12-D13,0))</f>
        <v>3900000</v>
      </c>
      <c r="E22" s="12">
        <f>IF($C$6="Доходы",E12,MAX(E12-E13,0))</f>
        <v>6100000</v>
      </c>
      <c r="F22" s="12">
        <f>IF($C$6="Доходы",F12,MAX(F12-F13-F14,0))</f>
        <v>8000000</v>
      </c>
      <c r="G22" s="18" t="s">
        <v>37</v>
      </c>
      <c r="H22" s="18"/>
      <c r="I22" s="18"/>
    </row>
    <row r="23" spans="2:9" ht="25.55" customHeight="1" x14ac:dyDescent="0.3">
      <c r="B23" s="11" t="s">
        <v>38</v>
      </c>
      <c r="C23" s="12">
        <f>C22*$C$7</f>
        <v>108000</v>
      </c>
      <c r="D23" s="12">
        <f>D22*$C$7</f>
        <v>234000</v>
      </c>
      <c r="E23" s="12">
        <f>E22*$C$7</f>
        <v>366000</v>
      </c>
      <c r="F23" s="12">
        <f>F22*$C$7</f>
        <v>480000</v>
      </c>
      <c r="G23" s="18" t="s">
        <v>39</v>
      </c>
      <c r="H23" s="18"/>
      <c r="I23" s="18"/>
    </row>
    <row r="24" spans="2:9" ht="29.95" customHeight="1" x14ac:dyDescent="0.3">
      <c r="B24" s="11" t="s">
        <v>40</v>
      </c>
      <c r="C24" s="12">
        <f>IF($C$6&lt;&gt;"Доходы",0,IF($C$5="ИП",C15+C16,0)+C18)</f>
        <v>57390</v>
      </c>
      <c r="D24" s="12">
        <f>IF($C$6&lt;&gt;"Доходы",0,IF($C$5="ИП",D15+D16,0)+D18)</f>
        <v>57390</v>
      </c>
      <c r="E24" s="12">
        <f>IF($C$6&lt;&gt;"Доходы",0,IF($C$5="ИП",E15+E16,0)+E18)</f>
        <v>57390</v>
      </c>
      <c r="F24" s="12">
        <f>IF($C$6&lt;&gt;"Доходы",0,IF($C$5="ИП",F15+F16,0)+F18)</f>
        <v>57390</v>
      </c>
      <c r="G24" s="18" t="s">
        <v>41</v>
      </c>
      <c r="H24" s="18"/>
      <c r="I24" s="18"/>
    </row>
    <row r="25" spans="2:9" ht="27.8" customHeight="1" x14ac:dyDescent="0.3">
      <c r="B25" s="11" t="s">
        <v>42</v>
      </c>
      <c r="C25" s="12">
        <f>IF($C$6&lt;&gt;"Доходы",0,IF(OR($C$5="ООО",$C$8=1),ROUND(C23*0.5,0),C23))</f>
        <v>108000</v>
      </c>
      <c r="D25" s="12">
        <f>IF($C$6&lt;&gt;"Доходы",0,IF(OR($C$5="ООО",$C$8=1),ROUND(D23*0.5,0),D23))</f>
        <v>234000</v>
      </c>
      <c r="E25" s="12">
        <f>IF($C$6&lt;&gt;"Доходы",0,IF(OR($C$5="ООО",$C$8=1),ROUND(E23*0.5,0),E23))</f>
        <v>366000</v>
      </c>
      <c r="F25" s="12">
        <f>IF($C$6&lt;&gt;"Доходы",0,IF(OR($C$5="ООО",$C$8=1),ROUND(F23*0.5,0),F23))</f>
        <v>480000</v>
      </c>
      <c r="G25" s="18" t="s">
        <v>43</v>
      </c>
      <c r="H25" s="18"/>
      <c r="I25" s="18"/>
    </row>
    <row r="26" spans="2:9" ht="25.55" customHeight="1" x14ac:dyDescent="0.3">
      <c r="B26" s="11" t="s">
        <v>44</v>
      </c>
      <c r="C26" s="12">
        <f>MIN(C24,C25)</f>
        <v>57390</v>
      </c>
      <c r="D26" s="12">
        <f>MIN(D24,D25)</f>
        <v>57390</v>
      </c>
      <c r="E26" s="12">
        <f>MIN(E24,E25)</f>
        <v>57390</v>
      </c>
      <c r="F26" s="12">
        <f>MIN(F24,F25)</f>
        <v>57390</v>
      </c>
      <c r="G26" s="18" t="s">
        <v>45</v>
      </c>
      <c r="H26" s="18"/>
      <c r="I26" s="18"/>
    </row>
    <row r="27" spans="2:9" ht="27.8" customHeight="1" x14ac:dyDescent="0.3">
      <c r="B27" s="11" t="s">
        <v>46</v>
      </c>
      <c r="C27" s="7" t="s">
        <v>24</v>
      </c>
      <c r="D27" s="7" t="s">
        <v>24</v>
      </c>
      <c r="E27" s="7" t="s">
        <v>24</v>
      </c>
      <c r="F27" s="12">
        <f>IF($C$6="Доходы",0,F12*0.01)</f>
        <v>0</v>
      </c>
      <c r="G27" s="18" t="s">
        <v>47</v>
      </c>
      <c r="H27" s="18"/>
      <c r="I27" s="18"/>
    </row>
    <row r="28" spans="2:9" ht="39.25" customHeight="1" x14ac:dyDescent="0.3">
      <c r="B28" s="11" t="s">
        <v>48</v>
      </c>
      <c r="C28" s="12">
        <f>C23-C26</f>
        <v>50610</v>
      </c>
      <c r="D28" s="12">
        <f>D23-D26</f>
        <v>176610</v>
      </c>
      <c r="E28" s="12">
        <f>E23-E26</f>
        <v>308610</v>
      </c>
      <c r="F28" s="12">
        <f>MAX(F23-F26,F27)</f>
        <v>422610</v>
      </c>
      <c r="G28" s="18" t="s">
        <v>49</v>
      </c>
      <c r="H28" s="18"/>
      <c r="I28" s="18"/>
    </row>
    <row r="29" spans="2:9" ht="25.55" customHeight="1" x14ac:dyDescent="0.3">
      <c r="B29" s="11" t="s">
        <v>50</v>
      </c>
      <c r="C29" s="12">
        <v>0</v>
      </c>
      <c r="D29" s="12">
        <f>C28</f>
        <v>50610</v>
      </c>
      <c r="E29" s="12">
        <f>D28</f>
        <v>176610</v>
      </c>
      <c r="F29" s="12">
        <f>E28</f>
        <v>308610</v>
      </c>
      <c r="G29" s="18" t="s">
        <v>51</v>
      </c>
      <c r="H29" s="18"/>
      <c r="I29" s="18"/>
    </row>
    <row r="30" spans="2:9" ht="27.8" customHeight="1" x14ac:dyDescent="0.3">
      <c r="B30" s="13" t="s">
        <v>52</v>
      </c>
      <c r="C30" s="14">
        <f>MAX(C28-C29,0)</f>
        <v>50610</v>
      </c>
      <c r="D30" s="14">
        <f>MAX(D28-D29,0)</f>
        <v>126000</v>
      </c>
      <c r="E30" s="14">
        <f>MAX(E28-E29,0)</f>
        <v>132000</v>
      </c>
      <c r="F30" s="14">
        <f>MAX(F28-F29,0)</f>
        <v>114000</v>
      </c>
      <c r="G30" s="18" t="s">
        <v>53</v>
      </c>
      <c r="H30" s="18"/>
      <c r="I30" s="18"/>
    </row>
    <row r="31" spans="2:9" ht="31.6" customHeight="1" x14ac:dyDescent="0.3">
      <c r="B31" s="11" t="s">
        <v>54</v>
      </c>
      <c r="C31" s="15" t="s">
        <v>55</v>
      </c>
      <c r="D31" s="15" t="s">
        <v>56</v>
      </c>
      <c r="E31" s="15" t="s">
        <v>57</v>
      </c>
      <c r="F31" s="15" t="s">
        <v>58</v>
      </c>
      <c r="G31" s="18" t="s">
        <v>59</v>
      </c>
      <c r="H31" s="18"/>
      <c r="I31" s="18"/>
    </row>
    <row r="33" spans="2:9" ht="20.95" customHeight="1" x14ac:dyDescent="0.3">
      <c r="B33" s="20" t="s">
        <v>60</v>
      </c>
      <c r="C33" s="20"/>
      <c r="D33" s="20"/>
      <c r="E33" s="20"/>
      <c r="F33" s="20"/>
      <c r="G33" s="20"/>
      <c r="H33" s="20"/>
      <c r="I33" s="20"/>
    </row>
    <row r="34" spans="2:9" ht="53.75" customHeight="1" x14ac:dyDescent="0.3">
      <c r="B34" s="11" t="s">
        <v>61</v>
      </c>
      <c r="C34" s="21" t="str">
        <f>IF(MAX(C12:F12)&gt;20000000,"ДОХОД ВЫШЕ 20 МЛН: НДС обязателен с 1-го числа следующего месяца","Доход до 20 млн: НДС нет, живем спокойно")</f>
        <v>Доход до 20 млн: НДС нет, живем спокойно</v>
      </c>
      <c r="D34" s="21"/>
      <c r="E34" s="21"/>
      <c r="F34" s="21"/>
      <c r="G34" s="18" t="s">
        <v>62</v>
      </c>
      <c r="H34" s="18"/>
      <c r="I34" s="18"/>
    </row>
    <row r="35" spans="2:9" ht="52.15" customHeight="1" x14ac:dyDescent="0.3">
      <c r="B35" s="1" t="s">
        <v>63</v>
      </c>
      <c r="C35" s="2" t="s">
        <v>64</v>
      </c>
      <c r="D35" s="19" t="s">
        <v>65</v>
      </c>
      <c r="E35" s="19"/>
      <c r="F35" s="19"/>
      <c r="G35" s="18" t="s">
        <v>66</v>
      </c>
      <c r="H35" s="18"/>
      <c r="I35" s="18"/>
    </row>
    <row r="36" spans="2:9" ht="42.45" customHeight="1" x14ac:dyDescent="0.3">
      <c r="B36" s="1" t="s">
        <v>67</v>
      </c>
      <c r="C36" s="6">
        <v>0</v>
      </c>
      <c r="D36" s="17" t="s">
        <v>68</v>
      </c>
      <c r="E36" s="17"/>
      <c r="F36" s="17"/>
      <c r="G36" s="18" t="s">
        <v>69</v>
      </c>
      <c r="H36" s="18"/>
      <c r="I36" s="18"/>
    </row>
    <row r="37" spans="2:9" ht="29.95" customHeight="1" x14ac:dyDescent="0.3">
      <c r="B37" s="1" t="s">
        <v>70</v>
      </c>
      <c r="C37" s="6">
        <v>0</v>
      </c>
      <c r="D37" s="17" t="s">
        <v>71</v>
      </c>
      <c r="E37" s="17"/>
      <c r="F37" s="17"/>
      <c r="G37" s="18" t="s">
        <v>72</v>
      </c>
      <c r="H37" s="18"/>
      <c r="I37" s="18"/>
    </row>
    <row r="38" spans="2:9" ht="33.75" customHeight="1" x14ac:dyDescent="0.3">
      <c r="B38" s="13" t="s">
        <v>73</v>
      </c>
      <c r="C38" s="14">
        <f>IF($C$35="5%",ROUND(C36*5/105,0),IF($C$35="7%",ROUND(C36*7/107,0),ROUND(MAX(C36-C37,0)*22/122,0)))</f>
        <v>0</v>
      </c>
      <c r="D38" s="17" t="s">
        <v>74</v>
      </c>
      <c r="E38" s="17"/>
      <c r="F38" s="17"/>
      <c r="G38" s="18" t="s">
        <v>75</v>
      </c>
      <c r="H38" s="18"/>
      <c r="I38" s="18"/>
    </row>
    <row r="40" spans="2:9" ht="24.05" customHeight="1" x14ac:dyDescent="0.3">
      <c r="B40" s="18" t="s">
        <v>76</v>
      </c>
      <c r="C40" s="18"/>
      <c r="D40" s="18"/>
      <c r="E40" s="18"/>
      <c r="F40" s="18"/>
      <c r="G40" s="18"/>
      <c r="H40" s="18"/>
      <c r="I40" s="18"/>
    </row>
    <row r="41" spans="2:9" ht="24.05" customHeight="1" x14ac:dyDescent="0.3">
      <c r="B41" s="18" t="s">
        <v>77</v>
      </c>
      <c r="C41" s="18"/>
      <c r="D41" s="18"/>
      <c r="E41" s="18"/>
      <c r="F41" s="18"/>
      <c r="G41" s="18"/>
      <c r="H41" s="18"/>
      <c r="I41" s="18"/>
    </row>
    <row r="42" spans="2:9" ht="24.05" customHeight="1" x14ac:dyDescent="0.3">
      <c r="B42" s="18" t="s">
        <v>78</v>
      </c>
      <c r="C42" s="18"/>
      <c r="D42" s="18"/>
      <c r="E42" s="18"/>
      <c r="F42" s="18"/>
      <c r="G42" s="18"/>
      <c r="H42" s="18"/>
      <c r="I42" s="18"/>
    </row>
  </sheetData>
  <mergeCells count="42">
    <mergeCell ref="B1:I1"/>
    <mergeCell ref="B2:I2"/>
    <mergeCell ref="B4:I4"/>
    <mergeCell ref="D5:I5"/>
    <mergeCell ref="D6:I6"/>
    <mergeCell ref="D7:I7"/>
    <mergeCell ref="D8:I8"/>
    <mergeCell ref="B10:I10"/>
    <mergeCell ref="G11:I11"/>
    <mergeCell ref="G12:I12"/>
    <mergeCell ref="G13:I13"/>
    <mergeCell ref="G14:I14"/>
    <mergeCell ref="G15:I15"/>
    <mergeCell ref="G16:I16"/>
    <mergeCell ref="G17:I17"/>
    <mergeCell ref="G18:I18"/>
    <mergeCell ref="B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B33:I33"/>
    <mergeCell ref="C34:F34"/>
    <mergeCell ref="G34:I34"/>
    <mergeCell ref="D35:F35"/>
    <mergeCell ref="G35:I35"/>
    <mergeCell ref="D36:F36"/>
    <mergeCell ref="G36:I36"/>
    <mergeCell ref="D37:F37"/>
    <mergeCell ref="G37:I37"/>
    <mergeCell ref="D38:F38"/>
    <mergeCell ref="G38:I38"/>
    <mergeCell ref="B40:I40"/>
    <mergeCell ref="B41:I41"/>
    <mergeCell ref="B42:I42"/>
  </mergeCells>
  <dataValidations count="4">
    <dataValidation type="list" sqref="C5" xr:uid="{00000000-0002-0000-0000-000000000000}">
      <formula1>"ИП,ООО"</formula1>
      <formula2>0</formula2>
    </dataValidation>
    <dataValidation type="list" sqref="C6" xr:uid="{00000000-0002-0000-0000-000001000000}">
      <formula1>"Доходы,Доходы минус расходы"</formula1>
      <formula2>0</formula2>
    </dataValidation>
    <dataValidation type="list" sqref="C35" xr:uid="{00000000-0002-0000-0000-000002000000}">
      <formula1>"5%,7%,22%"</formula1>
      <formula2>0</formula2>
    </dataValidation>
    <dataValidation type="list" sqref="C8" xr:uid="{00000000-0002-0000-0000-000003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УСН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shestakovy89@gmail.com</cp:lastModifiedBy>
  <cp:revision>0</cp:revision>
  <dcterms:created xsi:type="dcterms:W3CDTF">2026-07-10T06:47:04Z</dcterms:created>
  <dcterms:modified xsi:type="dcterms:W3CDTF">2026-07-12T16:55:21Z</dcterms:modified>
  <dc:language>en-US</dc:language>
</cp:coreProperties>
</file>